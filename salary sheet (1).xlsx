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2026\TEMP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" i="1" l="1"/>
  <c r="N12" i="1" s="1"/>
  <c r="N11" i="1"/>
  <c r="M11" i="1"/>
  <c r="K11" i="1"/>
  <c r="L11" i="1" s="1"/>
  <c r="P11" i="1" s="1"/>
  <c r="K10" i="1"/>
  <c r="N10" i="1" s="1"/>
  <c r="K9" i="1"/>
  <c r="N9" i="1" s="1"/>
  <c r="N8" i="1"/>
  <c r="M8" i="1"/>
  <c r="K8" i="1"/>
  <c r="L8" i="1" s="1"/>
  <c r="P8" i="1" s="1"/>
  <c r="O11" i="1" l="1"/>
  <c r="O8" i="1"/>
  <c r="O12" i="1"/>
  <c r="L10" i="1"/>
  <c r="P10" i="1" s="1"/>
  <c r="M10" i="1"/>
  <c r="M12" i="1"/>
  <c r="L9" i="1"/>
  <c r="P9" i="1" s="1"/>
  <c r="L12" i="1"/>
  <c r="P12" i="1" s="1"/>
  <c r="M9" i="1"/>
  <c r="O9" i="1" s="1"/>
  <c r="R9" i="1" l="1"/>
  <c r="Q9" i="1"/>
  <c r="R8" i="1"/>
  <c r="Q8" i="1"/>
  <c r="R12" i="1"/>
  <c r="Q12" i="1"/>
  <c r="R11" i="1"/>
  <c r="Q11" i="1"/>
  <c r="O10" i="1"/>
  <c r="U8" i="1" l="1"/>
  <c r="V8" i="1" s="1"/>
  <c r="U11" i="1"/>
  <c r="V11" i="1" s="1"/>
  <c r="U9" i="1"/>
  <c r="V9" i="1" s="1"/>
  <c r="U12" i="1"/>
  <c r="V12" i="1" s="1"/>
  <c r="R10" i="1"/>
  <c r="U10" i="1" s="1"/>
  <c r="V10" i="1" s="1"/>
  <c r="Q10" i="1"/>
</calcChain>
</file>

<file path=xl/sharedStrings.xml><?xml version="1.0" encoding="utf-8"?>
<sst xmlns="http://schemas.openxmlformats.org/spreadsheetml/2006/main" count="31" uniqueCount="28">
  <si>
    <t>SR. NO</t>
  </si>
  <si>
    <t xml:space="preserve">NAME OF THE EMPLOYEE </t>
  </si>
  <si>
    <t>SEX</t>
  </si>
  <si>
    <t>AGE</t>
  </si>
  <si>
    <t>DATE OF ENTRY INTO SERVICE</t>
  </si>
  <si>
    <t>MONTH DAYS</t>
  </si>
  <si>
    <t>Total days Worked</t>
  </si>
  <si>
    <t>SALARY RATE</t>
  </si>
  <si>
    <t>H. R. A.</t>
  </si>
  <si>
    <t>CONVEYANCE ALLOWANCE</t>
  </si>
  <si>
    <t>Gross Wages Payable</t>
  </si>
  <si>
    <t>DEDUCTIONS</t>
  </si>
  <si>
    <t>Net Wages to be Paid</t>
  </si>
  <si>
    <t>Monthly Salary</t>
  </si>
  <si>
    <t>Basic + D. A.</t>
  </si>
  <si>
    <t>EPF</t>
  </si>
  <si>
    <t>ESIC</t>
  </si>
  <si>
    <t>PT</t>
  </si>
  <si>
    <t xml:space="preserve">ADV </t>
  </si>
  <si>
    <t>OTHER</t>
  </si>
  <si>
    <t>Total Deduction</t>
  </si>
  <si>
    <t>NITIN BABURAO GHODKE</t>
  </si>
  <si>
    <t>M</t>
  </si>
  <si>
    <t>ANJALI DEEPAK MUNDLIK</t>
  </si>
  <si>
    <t>F</t>
  </si>
  <si>
    <t>PAVAN SANJAY TAMMEWAR</t>
  </si>
  <si>
    <t>SWAPNIL MAHAJAN</t>
  </si>
  <si>
    <t>SHAIKH MUJAHED SHAIKH RAHIM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</si>
</sst>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2"/>
      <name val="Arial"/>
      <family val="2"/>
    </font>
    <font>
      <b/>
      <sz val="14"/>
      <name val="Arial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0" borderId="1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horizontal="center" vertical="center" textRotation="90" wrapText="1"/>
    </xf>
    <xf numFmtId="1" fontId="3" fillId="0" borderId="2" xfId="1" applyNumberFormat="1" applyFont="1" applyFill="1" applyBorder="1" applyAlignment="1">
      <alignment horizontal="center" vertical="center" textRotation="90" wrapText="1"/>
    </xf>
    <xf numFmtId="1" fontId="3" fillId="0" borderId="1" xfId="1" applyNumberFormat="1" applyFont="1" applyFill="1" applyBorder="1" applyAlignment="1">
      <alignment horizontal="center" vertical="center" textRotation="90" wrapText="1"/>
    </xf>
    <xf numFmtId="1" fontId="3" fillId="0" borderId="1" xfId="1" applyNumberFormat="1" applyFont="1" applyFill="1" applyBorder="1" applyAlignment="1">
      <alignment horizontal="center" vertical="center" textRotation="90" wrapText="1"/>
    </xf>
    <xf numFmtId="1" fontId="3" fillId="0" borderId="2" xfId="1" applyNumberFormat="1" applyFont="1" applyFill="1" applyBorder="1" applyAlignment="1">
      <alignment horizontal="center" textRotation="90" wrapText="1"/>
    </xf>
    <xf numFmtId="1" fontId="3" fillId="0" borderId="3" xfId="1" applyNumberFormat="1" applyFont="1" applyFill="1" applyBorder="1" applyAlignment="1">
      <alignment horizontal="center" vertical="center" textRotation="92" wrapText="1"/>
    </xf>
    <xf numFmtId="1" fontId="3" fillId="0" borderId="4" xfId="1" applyNumberFormat="1" applyFont="1" applyFill="1" applyBorder="1" applyAlignment="1">
      <alignment horizontal="center" vertical="center" textRotation="92" wrapText="1"/>
    </xf>
    <xf numFmtId="1" fontId="3" fillId="0" borderId="5" xfId="1" applyNumberFormat="1" applyFont="1" applyFill="1" applyBorder="1" applyAlignment="1">
      <alignment horizontal="center" vertical="center" textRotation="92" wrapText="1"/>
    </xf>
    <xf numFmtId="0" fontId="2" fillId="0" borderId="6" xfId="1" applyFont="1" applyFill="1" applyBorder="1" applyAlignment="1">
      <alignment horizontal="center" vertical="center" textRotation="90" wrapText="1"/>
    </xf>
    <xf numFmtId="1" fontId="3" fillId="0" borderId="6" xfId="1" applyNumberFormat="1" applyFont="1" applyFill="1" applyBorder="1" applyAlignment="1">
      <alignment horizontal="center" vertical="center" textRotation="90" wrapText="1"/>
    </xf>
    <xf numFmtId="1" fontId="3" fillId="0" borderId="1" xfId="0" applyNumberFormat="1" applyFont="1" applyFill="1" applyBorder="1" applyAlignment="1">
      <alignment horizontal="center" vertical="center" textRotation="90" wrapText="1"/>
    </xf>
    <xf numFmtId="1" fontId="3" fillId="0" borderId="6" xfId="1" applyNumberFormat="1" applyFont="1" applyFill="1" applyBorder="1" applyAlignment="1">
      <alignment horizontal="center" textRotation="90" wrapText="1"/>
    </xf>
    <xf numFmtId="0" fontId="4" fillId="0" borderId="1" xfId="1" applyFont="1" applyFill="1" applyBorder="1" applyAlignment="1">
      <alignment horizontal="center" wrapText="1"/>
    </xf>
    <xf numFmtId="0" fontId="6" fillId="0" borderId="1" xfId="0" applyNumberFormat="1" applyFont="1" applyFill="1" applyBorder="1" applyAlignment="1">
      <alignment horizontal="center" wrapText="1"/>
    </xf>
    <xf numFmtId="0" fontId="4" fillId="0" borderId="5" xfId="0" applyFont="1" applyFill="1" applyBorder="1" applyAlignment="1">
      <alignment horizontal="center"/>
    </xf>
    <xf numFmtId="1" fontId="4" fillId="0" borderId="1" xfId="1" applyNumberFormat="1" applyFont="1" applyFill="1" applyBorder="1" applyAlignment="1">
      <alignment horizontal="center" wrapText="1"/>
    </xf>
    <xf numFmtId="0" fontId="5" fillId="0" borderId="1" xfId="0" applyFont="1" applyFill="1" applyBorder="1" applyAlignment="1">
      <alignment horizontal="center"/>
    </xf>
    <xf numFmtId="1" fontId="5" fillId="0" borderId="1" xfId="0" applyNumberFormat="1" applyFont="1" applyFill="1" applyBorder="1" applyAlignment="1">
      <alignment horizontal="center"/>
    </xf>
    <xf numFmtId="1" fontId="4" fillId="0" borderId="1" xfId="0" applyNumberFormat="1" applyFont="1" applyFill="1" applyBorder="1" applyAlignment="1">
      <alignment horizontal="center" wrapText="1"/>
    </xf>
    <xf numFmtId="14" fontId="5" fillId="0" borderId="1" xfId="0" applyNumberFormat="1" applyFont="1" applyFill="1" applyBorder="1" applyAlignment="1">
      <alignment horizontal="center" wrapText="1"/>
    </xf>
    <xf numFmtId="0" fontId="5" fillId="0" borderId="1" xfId="0" applyFont="1" applyFill="1" applyBorder="1" applyAlignment="1">
      <alignment horizontal="center" wrapText="1"/>
    </xf>
  </cellXfs>
  <cellStyles count="2">
    <cellStyle name="Normal" xfId="0" builtinId="0"/>
    <cellStyle name="Normal 2" xfId="1"/>
  </cellStyles>
  <dxfs count="32">
    <dxf>
      <font>
        <b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4"/>
          <bgColor rgb="FFFFC7CE"/>
        </patternFill>
      </fill>
    </dxf>
    <dxf>
      <font>
        <b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4"/>
          <bgColor rgb="FFFFC7CE"/>
        </patternFill>
      </fill>
    </dxf>
    <dxf>
      <font>
        <b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4"/>
          <bgColor rgb="FFFFC7CE"/>
        </patternFill>
      </fill>
    </dxf>
    <dxf>
      <font>
        <b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4"/>
          <bgColor rgb="FFFFC7CE"/>
        </patternFill>
      </fill>
    </dxf>
    <dxf>
      <font>
        <b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4"/>
          <bgColor rgb="FFFFC7CE"/>
        </patternFill>
      </fill>
    </dxf>
    <dxf>
      <font>
        <b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4"/>
          <bgColor rgb="FFFFC7CE"/>
        </patternFill>
      </fill>
    </dxf>
    <dxf>
      <font>
        <b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:V12"/>
  <sheetViews>
    <sheetView tabSelected="1" topLeftCell="C1" workbookViewId="0">
      <selection activeCell="G3" sqref="G3"/>
    </sheetView>
  </sheetViews>
  <sheetFormatPr defaultRowHeight="15" x14ac:dyDescent="0.25"/>
  <cols>
    <col min="4" max="4" width="35.28515625" bestFit="1" customWidth="1"/>
    <col min="7" max="7" width="22.42578125" customWidth="1"/>
  </cols>
  <sheetData>
    <row r="6" spans="3:22" x14ac:dyDescent="0.25">
      <c r="C6" s="1" t="s">
        <v>0</v>
      </c>
      <c r="D6" s="1" t="s">
        <v>1</v>
      </c>
      <c r="E6" s="2" t="s">
        <v>2</v>
      </c>
      <c r="F6" s="2" t="s">
        <v>3</v>
      </c>
      <c r="G6" s="2" t="s">
        <v>4</v>
      </c>
      <c r="H6" s="2" t="s">
        <v>5</v>
      </c>
      <c r="I6" s="2" t="s">
        <v>6</v>
      </c>
      <c r="J6" s="3" t="s">
        <v>7</v>
      </c>
      <c r="K6" s="4"/>
      <c r="L6" s="4"/>
      <c r="M6" s="5" t="s">
        <v>8</v>
      </c>
      <c r="N6" s="6" t="s">
        <v>9</v>
      </c>
      <c r="O6" s="5" t="s">
        <v>10</v>
      </c>
      <c r="P6" s="7" t="s">
        <v>11</v>
      </c>
      <c r="Q6" s="8"/>
      <c r="R6" s="8"/>
      <c r="S6" s="8"/>
      <c r="T6" s="8"/>
      <c r="U6" s="9"/>
      <c r="V6" s="5" t="s">
        <v>12</v>
      </c>
    </row>
    <row r="7" spans="3:22" ht="67.5" x14ac:dyDescent="0.25">
      <c r="C7" s="1"/>
      <c r="D7" s="1"/>
      <c r="E7" s="10"/>
      <c r="F7" s="10"/>
      <c r="G7" s="10"/>
      <c r="H7" s="10"/>
      <c r="I7" s="10"/>
      <c r="J7" s="11"/>
      <c r="K7" s="12" t="s">
        <v>13</v>
      </c>
      <c r="L7" s="4" t="s">
        <v>14</v>
      </c>
      <c r="M7" s="5"/>
      <c r="N7" s="13"/>
      <c r="O7" s="5"/>
      <c r="P7" s="4" t="s">
        <v>15</v>
      </c>
      <c r="Q7" s="4" t="s">
        <v>16</v>
      </c>
      <c r="R7" s="4" t="s">
        <v>17</v>
      </c>
      <c r="S7" s="4" t="s">
        <v>18</v>
      </c>
      <c r="T7" s="4" t="s">
        <v>19</v>
      </c>
      <c r="U7" s="4" t="s">
        <v>20</v>
      </c>
      <c r="V7" s="5"/>
    </row>
    <row r="8" spans="3:22" ht="18.75" x14ac:dyDescent="0.3">
      <c r="C8" s="14">
        <v>1</v>
      </c>
      <c r="D8" s="18" t="s">
        <v>21</v>
      </c>
      <c r="E8" s="14" t="s">
        <v>22</v>
      </c>
      <c r="F8" s="15"/>
      <c r="G8" s="21">
        <v>43191</v>
      </c>
      <c r="H8" s="16">
        <v>31</v>
      </c>
      <c r="I8" s="16">
        <v>31</v>
      </c>
      <c r="J8" s="17">
        <v>20000</v>
      </c>
      <c r="K8" s="17">
        <f t="shared" ref="K8:K12" si="0">+ROUND(J8/H8*I8,0)</f>
        <v>20000</v>
      </c>
      <c r="L8" s="17">
        <f t="shared" ref="L8:L12" si="1">K8*50%</f>
        <v>10000</v>
      </c>
      <c r="M8" s="17">
        <f t="shared" ref="M8:M12" si="2">K8*40%</f>
        <v>8000</v>
      </c>
      <c r="N8" s="17">
        <f t="shared" ref="N8:N12" si="3">K8*10%</f>
        <v>2000</v>
      </c>
      <c r="O8" s="17">
        <f>+N8+M8+L8</f>
        <v>20000</v>
      </c>
      <c r="P8" s="17">
        <f>+ROUND(L8*0.12,0)</f>
        <v>1200</v>
      </c>
      <c r="Q8" s="17">
        <f>+CEILING(O8*0.75/100,1)</f>
        <v>150</v>
      </c>
      <c r="R8" s="18">
        <f t="shared" ref="R8:R12" si="4">IF(O8&lt;7500,0,IF(O8&lt;10000,175,IF(O8&gt;9999,200)))</f>
        <v>200</v>
      </c>
      <c r="S8" s="19">
        <v>0</v>
      </c>
      <c r="T8" s="19">
        <v>0</v>
      </c>
      <c r="U8" s="17">
        <f t="shared" ref="U8:U12" si="5">+T8+S8+R8+Q8+P8</f>
        <v>1550</v>
      </c>
      <c r="V8" s="20">
        <f t="shared" ref="V8:V12" si="6">+O8-U8</f>
        <v>18450</v>
      </c>
    </row>
    <row r="9" spans="3:22" ht="18.75" x14ac:dyDescent="0.3">
      <c r="C9" s="14">
        <v>2</v>
      </c>
      <c r="D9" s="18" t="s">
        <v>23</v>
      </c>
      <c r="E9" s="14" t="s">
        <v>24</v>
      </c>
      <c r="F9" s="15"/>
      <c r="G9" s="21">
        <v>44682</v>
      </c>
      <c r="H9" s="16">
        <v>31</v>
      </c>
      <c r="I9" s="16">
        <v>31</v>
      </c>
      <c r="J9" s="17">
        <v>18000</v>
      </c>
      <c r="K9" s="17">
        <f t="shared" si="0"/>
        <v>18000</v>
      </c>
      <c r="L9" s="17">
        <f t="shared" si="1"/>
        <v>9000</v>
      </c>
      <c r="M9" s="17">
        <f t="shared" si="2"/>
        <v>7200</v>
      </c>
      <c r="N9" s="17">
        <f t="shared" si="3"/>
        <v>1800</v>
      </c>
      <c r="O9" s="17">
        <f t="shared" ref="O9:O12" si="7">+N9+M9+L9</f>
        <v>18000</v>
      </c>
      <c r="P9" s="17">
        <f t="shared" ref="P9:P12" si="8">+ROUND(L9*0.12,0)</f>
        <v>1080</v>
      </c>
      <c r="Q9" s="17">
        <f>+CEILING(O9*0.75/100,1)</f>
        <v>135</v>
      </c>
      <c r="R9" s="18">
        <f t="shared" si="4"/>
        <v>200</v>
      </c>
      <c r="S9" s="19">
        <v>0</v>
      </c>
      <c r="T9" s="19">
        <v>0</v>
      </c>
      <c r="U9" s="17">
        <f t="shared" si="5"/>
        <v>1415</v>
      </c>
      <c r="V9" s="20">
        <f t="shared" si="6"/>
        <v>16585</v>
      </c>
    </row>
    <row r="10" spans="3:22" ht="18.75" x14ac:dyDescent="0.3">
      <c r="C10" s="14">
        <v>3</v>
      </c>
      <c r="D10" s="18" t="s">
        <v>25</v>
      </c>
      <c r="E10" s="14" t="s">
        <v>22</v>
      </c>
      <c r="F10" s="15"/>
      <c r="G10" s="21">
        <v>45870</v>
      </c>
      <c r="H10" s="16">
        <v>31</v>
      </c>
      <c r="I10" s="16">
        <v>31</v>
      </c>
      <c r="J10" s="17">
        <v>20000</v>
      </c>
      <c r="K10" s="17">
        <f t="shared" si="0"/>
        <v>20000</v>
      </c>
      <c r="L10" s="17">
        <f t="shared" si="1"/>
        <v>10000</v>
      </c>
      <c r="M10" s="17">
        <f t="shared" si="2"/>
        <v>8000</v>
      </c>
      <c r="N10" s="17">
        <f t="shared" si="3"/>
        <v>2000</v>
      </c>
      <c r="O10" s="17">
        <f t="shared" si="7"/>
        <v>20000</v>
      </c>
      <c r="P10" s="17">
        <f t="shared" si="8"/>
        <v>1200</v>
      </c>
      <c r="Q10" s="17">
        <f>+CEILING(O10*0.75/100,1)</f>
        <v>150</v>
      </c>
      <c r="R10" s="18">
        <f t="shared" si="4"/>
        <v>200</v>
      </c>
      <c r="S10" s="19">
        <v>0</v>
      </c>
      <c r="T10" s="19">
        <v>0</v>
      </c>
      <c r="U10" s="17">
        <f t="shared" si="5"/>
        <v>1550</v>
      </c>
      <c r="V10" s="20">
        <f t="shared" si="6"/>
        <v>18450</v>
      </c>
    </row>
    <row r="11" spans="3:22" ht="18.75" x14ac:dyDescent="0.3">
      <c r="C11" s="14">
        <v>4</v>
      </c>
      <c r="D11" s="18" t="s">
        <v>26</v>
      </c>
      <c r="E11" s="14" t="s">
        <v>22</v>
      </c>
      <c r="F11" s="15"/>
      <c r="G11" s="21">
        <v>45870</v>
      </c>
      <c r="H11" s="16">
        <v>31</v>
      </c>
      <c r="I11" s="16">
        <v>31</v>
      </c>
      <c r="J11" s="17">
        <v>10000</v>
      </c>
      <c r="K11" s="17">
        <f t="shared" si="0"/>
        <v>10000</v>
      </c>
      <c r="L11" s="17">
        <f t="shared" si="1"/>
        <v>5000</v>
      </c>
      <c r="M11" s="17">
        <f t="shared" si="2"/>
        <v>4000</v>
      </c>
      <c r="N11" s="17">
        <f t="shared" si="3"/>
        <v>1000</v>
      </c>
      <c r="O11" s="17">
        <f t="shared" si="7"/>
        <v>10000</v>
      </c>
      <c r="P11" s="17">
        <f t="shared" si="8"/>
        <v>600</v>
      </c>
      <c r="Q11" s="17">
        <f>+CEILING(O11*0.75/100,1)</f>
        <v>75</v>
      </c>
      <c r="R11" s="18">
        <f t="shared" si="4"/>
        <v>200</v>
      </c>
      <c r="S11" s="19">
        <v>0</v>
      </c>
      <c r="T11" s="19">
        <v>0</v>
      </c>
      <c r="U11" s="17">
        <f t="shared" si="5"/>
        <v>875</v>
      </c>
      <c r="V11" s="20">
        <f t="shared" si="6"/>
        <v>9125</v>
      </c>
    </row>
    <row r="12" spans="3:22" ht="37.5" x14ac:dyDescent="0.3">
      <c r="C12" s="14">
        <v>5</v>
      </c>
      <c r="D12" s="22" t="s">
        <v>27</v>
      </c>
      <c r="E12" s="14" t="s">
        <v>22</v>
      </c>
      <c r="F12" s="15"/>
      <c r="G12" s="21">
        <v>44866</v>
      </c>
      <c r="H12" s="16">
        <v>31</v>
      </c>
      <c r="I12" s="16">
        <v>31</v>
      </c>
      <c r="J12" s="17">
        <v>20000</v>
      </c>
      <c r="K12" s="17">
        <f t="shared" si="0"/>
        <v>20000</v>
      </c>
      <c r="L12" s="17">
        <f t="shared" si="1"/>
        <v>10000</v>
      </c>
      <c r="M12" s="17">
        <f t="shared" si="2"/>
        <v>8000</v>
      </c>
      <c r="N12" s="17">
        <f t="shared" si="3"/>
        <v>2000</v>
      </c>
      <c r="O12" s="17">
        <f t="shared" si="7"/>
        <v>20000</v>
      </c>
      <c r="P12" s="17">
        <f t="shared" si="8"/>
        <v>1200</v>
      </c>
      <c r="Q12" s="17">
        <f t="shared" ref="Q12" si="9">+CEILING(O12*0.75/100,1)</f>
        <v>150</v>
      </c>
      <c r="R12" s="18">
        <f t="shared" si="4"/>
        <v>200</v>
      </c>
      <c r="S12" s="19">
        <v>0</v>
      </c>
      <c r="T12" s="19">
        <v>0</v>
      </c>
      <c r="U12" s="17">
        <f t="shared" si="5"/>
        <v>1550</v>
      </c>
      <c r="V12" s="20">
        <f t="shared" si="6"/>
        <v>18450</v>
      </c>
    </row>
  </sheetData>
  <mergeCells count="13">
    <mergeCell ref="V6:V7"/>
    <mergeCell ref="I6:I7"/>
    <mergeCell ref="J6:J7"/>
    <mergeCell ref="M6:M7"/>
    <mergeCell ref="N6:N7"/>
    <mergeCell ref="O6:O7"/>
    <mergeCell ref="P6:U6"/>
    <mergeCell ref="C6:C7"/>
    <mergeCell ref="D6:D7"/>
    <mergeCell ref="E6:E7"/>
    <mergeCell ref="F6:F7"/>
    <mergeCell ref="G6:G7"/>
    <mergeCell ref="H6:H7"/>
  </mergeCells>
  <conditionalFormatting sqref="O6:O12">
    <cfRule type="cellIs" dxfId="31" priority="16" operator="lessThan">
      <formula>6500</formula>
    </cfRule>
  </conditionalFormatting>
  <conditionalFormatting sqref="E8:F12 D6:V7 C6:C12 H8:V12">
    <cfRule type="cellIs" dxfId="29" priority="13" stopIfTrue="1" operator="equal">
      <formula>"A"</formula>
    </cfRule>
    <cfRule type="cellIs" dxfId="28" priority="14" stopIfTrue="1" operator="equal">
      <formula>"PL"+"CL"+"SL"</formula>
    </cfRule>
    <cfRule type="cellIs" dxfId="27" priority="15" stopIfTrue="1" operator="equal">
      <formula>"CO"+"OD"</formula>
    </cfRule>
  </conditionalFormatting>
  <conditionalFormatting sqref="O12 O8">
    <cfRule type="cellIs" dxfId="23" priority="9" operator="lessThan">
      <formula>6500</formula>
    </cfRule>
    <cfRule type="cellIs" dxfId="22" priority="10" stopIfTrue="1" operator="equal">
      <formula>"A"</formula>
    </cfRule>
    <cfRule type="cellIs" dxfId="21" priority="11" stopIfTrue="1" operator="equal">
      <formula>"PL"+"CL"+"SL"</formula>
    </cfRule>
    <cfRule type="cellIs" dxfId="20" priority="12" stopIfTrue="1" operator="equal">
      <formula>"CO"+"OD"</formula>
    </cfRule>
  </conditionalFormatting>
  <conditionalFormatting sqref="O11">
    <cfRule type="cellIs" dxfId="15" priority="5" operator="lessThan">
      <formula>6500</formula>
    </cfRule>
    <cfRule type="cellIs" dxfId="14" priority="6" stopIfTrue="1" operator="equal">
      <formula>"A"</formula>
    </cfRule>
    <cfRule type="cellIs" dxfId="13" priority="7" stopIfTrue="1" operator="equal">
      <formula>"PL"+"CL"+"SL"</formula>
    </cfRule>
    <cfRule type="cellIs" dxfId="12" priority="8" stopIfTrue="1" operator="equal">
      <formula>"CO"+"OD"</formula>
    </cfRule>
  </conditionalFormatting>
  <conditionalFormatting sqref="O10">
    <cfRule type="cellIs" dxfId="7" priority="1" operator="lessThan">
      <formula>6500</formula>
    </cfRule>
    <cfRule type="cellIs" dxfId="6" priority="2" stopIfTrue="1" operator="equal">
      <formula>"A"</formula>
    </cfRule>
    <cfRule type="cellIs" dxfId="5" priority="3" stopIfTrue="1" operator="equal">
      <formula>"PL"+"CL"+"SL"</formula>
    </cfRule>
    <cfRule type="cellIs" dxfId="4" priority="4" stopIfTrue="1" operator="equal">
      <formula>"CO"+"OD"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LAXMI</dc:creator>
  <cp:lastModifiedBy>LAXMI</cp:lastModifiedBy>
  <dcterms:created xsi:type="dcterms:W3CDTF">2026-09-30T09:08:18Z</dcterms:created>
  <dcterms:modified xsi:type="dcterms:W3CDTF">2026-09-30T09:12:52Z</dcterms:modified>
</cp:coreProperties>
</file>